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834b67dfe8cd8862/ARCHIVOS EXTRAS/"/>
    </mc:Choice>
  </mc:AlternateContent>
  <xr:revisionPtr revIDLastSave="189" documentId="8_{950A2EB0-DF4C-4BB7-A948-5E28662FE312}" xr6:coauthVersionLast="47" xr6:coauthVersionMax="47" xr10:uidLastSave="{CD13619C-035C-4FCD-BFBF-95119464E146}"/>
  <bookViews>
    <workbookView xWindow="-120" yWindow="-120" windowWidth="20730" windowHeight="11040" xr2:uid="{00000000-000D-0000-FFFF-FFFF00000000}"/>
  </bookViews>
  <sheets>
    <sheet name="Tabla_Tareas" sheetId="1" r:id="rId1"/>
  </sheets>
  <definedNames>
    <definedName name="Tabla_asignación">#REF!</definedName>
    <definedName name="Tabla_Recursos">#REF!</definedName>
    <definedName name="Tabla_Tareas">Tabla_Tareas!$B$5:$E$5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E35" i="1" s="1"/>
  <c r="M33" i="1" l="1"/>
</calcChain>
</file>

<file path=xl/sharedStrings.xml><?xml version="1.0" encoding="utf-8"?>
<sst xmlns="http://schemas.openxmlformats.org/spreadsheetml/2006/main" count="29" uniqueCount="29">
  <si>
    <t>Duración</t>
  </si>
  <si>
    <t>Comienzo</t>
  </si>
  <si>
    <t>Fin</t>
  </si>
  <si>
    <t>Detalle de la actividad</t>
  </si>
  <si>
    <r>
      <rPr>
        <b/>
        <sz val="11"/>
        <color theme="1"/>
        <rFont val="Calibri"/>
        <family val="2"/>
        <scheme val="minor"/>
      </rPr>
      <t>Carrera</t>
    </r>
    <r>
      <rPr>
        <sz val="11"/>
        <color theme="1"/>
        <rFont val="Calibri"/>
        <family val="2"/>
        <scheme val="minor"/>
      </rPr>
      <t>: Software</t>
    </r>
  </si>
  <si>
    <r>
      <rPr>
        <b/>
        <sz val="11"/>
        <color theme="1"/>
        <rFont val="Calibri"/>
        <family val="2"/>
        <scheme val="minor"/>
      </rPr>
      <t>Departamento</t>
    </r>
    <r>
      <rPr>
        <sz val="11"/>
        <color theme="1"/>
        <rFont val="Calibri"/>
        <family val="2"/>
        <scheme val="minor"/>
      </rPr>
      <t>: Dirección de Gestión de Tecnología de la información</t>
    </r>
  </si>
  <si>
    <t xml:space="preserve">Supervisor: </t>
  </si>
  <si>
    <r>
      <rPr>
        <b/>
        <sz val="11"/>
        <color theme="1"/>
        <rFont val="Calibri"/>
        <family val="2"/>
        <scheme val="minor"/>
      </rPr>
      <t>Proyecto</t>
    </r>
    <r>
      <rPr>
        <sz val="11"/>
        <color theme="1"/>
        <rFont val="Calibri"/>
        <family val="2"/>
        <scheme val="minor"/>
      </rPr>
      <t xml:space="preserve">: </t>
    </r>
  </si>
  <si>
    <t xml:space="preserve">total de horas </t>
  </si>
  <si>
    <t>Creacion de documento en donde se señala cuales son los indicadores que se deben realizar en el mes de noviembre de acuerdo al Ing. Bolivar Ramos</t>
  </si>
  <si>
    <t>Creacion de oficio solicitando la aprobacion de horario de vinculacion para estudiantes</t>
  </si>
  <si>
    <t>Buscar empresas que se encuentren en la pagina "Bolsa de Valores de Guayaquil S.A. " seleccionar ciertas empresas y buscar sus correos de recurso humano</t>
  </si>
  <si>
    <t xml:space="preserve">Buscar en la pagina de La Universidad de Guayaquil en la seccion "-----------" documentos que tengan que ver con Vinculacion, descargarlos y ubicarlo en una carpeta </t>
  </si>
  <si>
    <r>
      <rPr>
        <b/>
        <sz val="11"/>
        <color theme="1"/>
        <rFont val="Calibri"/>
        <family val="2"/>
        <scheme val="minor"/>
      </rPr>
      <t>Nombre</t>
    </r>
    <r>
      <rPr>
        <sz val="11"/>
        <color theme="1"/>
        <rFont val="Calibri"/>
        <family val="2"/>
        <scheme val="minor"/>
      </rPr>
      <t>: Tenesaca Pincay Cinthia Maria</t>
    </r>
  </si>
  <si>
    <t>Revision de documentos en carpertas de procesos manual y plataforma</t>
  </si>
  <si>
    <t>Revision de archivos de estudiantes qie ya cumplieron su proceso de Vinculacion con la sociedad. Asi mismo, crear un excel para tener mayor control de los estudiantes cuya documentacion este completo o incompleta</t>
  </si>
  <si>
    <t>Creación de oficios y receptacion de documentos para validación de horas cne de estudiantes</t>
  </si>
  <si>
    <t>Redacción y corrección de oficios, validación y actualización de certificados generado, por generar y navegador de estudiantes que hayan culminado su proceso de vinculación</t>
  </si>
  <si>
    <t>Redacción de informes finales plataformas de estudiantes que tienen horas completas en proyecto vinculación "EVALUACIÓN DE LA VULNERABILIDAD SÍSMICA DE LAS EDIFICACIONES UBICADAS EN LAS PARROQUIAS OLMEDO Y BOLÍVAR DE LA CIUDAD DE GUAYAQUIL" y redacción de documento Anexo C Modelo informe final de proyecto vinculacion "EVALUACIÓN DE LA VULNERABILIDAD SÍSMICA DE LAS EDIFICACIONES UBICADAS EN LAS PARROQUIAS OLMEDO Y BOLÍVAR DE LA CIUDAD DE GUAYAQUIL"</t>
  </si>
  <si>
    <t>Redacción de documento Anexo C Modelo informe final de proyecto vinculacion "EVALUACIÓN DE LA VULNERABILIDAD SÍSMICA DE LAS EDIFICACIONES UBICADAS EN LAS PARROQUIAS OLMEDO Y BOLÍVAR DE LA CIUDAD DE GUAYAQUIL"</t>
  </si>
  <si>
    <t>Corregir informes finales plataformas de estudiantes que tienen horas completas en proyecto vinculación "EVALUACIÓN DE LA VULNERABILIDAD SÍSMICA DE LAS EDIFICACIONES UBICADAS EN LAS PARROQUIAS OLMEDO Y BOLÍVAR DE LA CIUDAD DE GUAYAQUIL" y redaccion de correos para enviar a estudiantes que se acerquen a retirar certificado</t>
  </si>
  <si>
    <t>SE REDACTO CORREOS A ESTUDIANTES QUE YA TENIAN PROYECTO ASIGNADOS NOTIFICANDO DE UNA REUNION 
SE CORRIGIO ARCHIVO ANEXO
SE REALIZO OFICIOS
SE REALIZO REGISTRO Y GESTION DE SOLICITUDES DESCARGANDO RESPUESTA Y CARTA</t>
  </si>
  <si>
    <t xml:space="preserve">SE REPARTIO LISTASTO DE ESTUDIANTES DE ACUERDO A VARIOS TUTORES ASIGNANDOLES ASI TUTORES A VARIOS ESTUDIANTES, SE CORROBOR QUE DOCUMENTACION YA ESTA COMPLETA E INCOMPLETA </t>
  </si>
  <si>
    <t>Se realizo certificados intermedios y finales de estudiantes que ya tenian numeros de oficios</t>
  </si>
  <si>
    <t>Redacción de correos para firmas de certificados intermedios y finales de proyectos de vinculación
Redacción de correos a estudiantes de proyecto de vinculación de vulnerabilidad para que se acerquen a retirar su certificado</t>
  </si>
  <si>
    <t>Redacción de correos solicitando números de oficios
Redacción de oficio petición apoyo</t>
  </si>
  <si>
    <t xml:space="preserve">revision de archivos de chicos de vulnerabilidad para sacar copia y llevar a ciudadela y seguir con el anexo </t>
  </si>
  <si>
    <t>Redacción de certificados cne 0039 a 0045
Pedir numero de oficios seguimiento a graduados</t>
  </si>
  <si>
    <t>CERTIFICADOS INTERMEDIOS FIRMADOS ENVIADOS A ING TEJADA PARA SU RESPECTIVA FIRMA Y CREACION DE LISTA DE ESTUDIANTES PARA MAYOR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</si>
</sst>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Calibri"/>
      <family val="2"/>
      <scheme val="minor"/>
    </font>
    <font>
      <b/>
      <sz val="11"/>
      <color theme="1"/>
      <name val="Calibri"/>
      <family val="2"/>
      <scheme val="minor"/>
    </font>
    <font>
      <sz val="8"/>
      <name val="Calibri"/>
      <family val="2"/>
      <scheme val="minor"/>
    </font>
    <font>
      <b/>
      <sz val="12"/>
      <color theme="1"/>
      <name val="Times New Roman"/>
      <family val="1"/>
    </font>
    <font>
      <sz val="12"/>
      <color theme="1"/>
      <name val="Times New Roman"/>
      <family val="1"/>
    </font>
    <font>
      <sz val="12"/>
      <name val="Times New Roman"/>
      <family val="1"/>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right style="thin">
        <color theme="0" tint="-0.249977111117893"/>
      </right>
      <top style="thin">
        <color theme="0" tint="-0.249977111117893"/>
      </top>
      <bottom/>
      <diagonal/>
    </border>
    <border>
      <left/>
      <right style="thin">
        <color theme="0" tint="-0.249977111117893"/>
      </right>
      <top/>
      <bottom/>
      <diagonal/>
    </border>
    <border>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diagonal/>
    </border>
    <border>
      <left style="thick">
        <color indexed="64"/>
      </left>
      <right/>
      <top style="thick">
        <color indexed="64"/>
      </top>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xf numFmtId="0" fontId="0" fillId="0" borderId="2" xfId="0" applyBorder="1"/>
    <xf numFmtId="0" fontId="0" fillId="0" borderId="3" xfId="0" applyBorder="1"/>
    <xf numFmtId="0" fontId="1" fillId="0" borderId="0" xfId="0" applyFont="1" applyAlignment="1">
      <alignment horizontal="center" vertical="center" wrapText="1"/>
    </xf>
    <xf numFmtId="14" fontId="0" fillId="0" borderId="0" xfId="0" applyNumberFormat="1" applyAlignment="1">
      <alignment horizontal="center" vertical="center"/>
    </xf>
    <xf numFmtId="14" fontId="0" fillId="0" borderId="0" xfId="0" applyNumberFormat="1" applyAlignment="1">
      <alignment horizontal="center"/>
    </xf>
    <xf numFmtId="0" fontId="0" fillId="3" borderId="4" xfId="0" applyFill="1" applyBorder="1"/>
    <xf numFmtId="0" fontId="0" fillId="4" borderId="0" xfId="0" applyFill="1"/>
    <xf numFmtId="0" fontId="0" fillId="3" borderId="0" xfId="0" applyFill="1"/>
    <xf numFmtId="0" fontId="0" fillId="0" borderId="0" xfId="0" applyAlignment="1">
      <alignment horizontal="left"/>
    </xf>
    <xf numFmtId="0" fontId="1" fillId="0" borderId="0" xfId="0" applyFont="1" applyAlignment="1">
      <alignment horizontal="left"/>
    </xf>
    <xf numFmtId="0" fontId="0" fillId="3" borderId="4" xfId="0" applyFill="1" applyBorder="1" applyAlignment="1">
      <alignment horizontal="center"/>
    </xf>
    <xf numFmtId="0" fontId="0" fillId="0" borderId="0" xfId="0" applyBorder="1"/>
    <xf numFmtId="0" fontId="4" fillId="3" borderId="5" xfId="0" applyFont="1" applyFill="1" applyBorder="1" applyAlignment="1">
      <alignment horizontal="center" vertical="center"/>
    </xf>
    <xf numFmtId="164" fontId="4" fillId="3"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164" fontId="4" fillId="2" borderId="5" xfId="0" applyNumberFormat="1" applyFont="1" applyFill="1" applyBorder="1" applyAlignment="1">
      <alignment horizontal="center" vertical="center"/>
    </xf>
    <xf numFmtId="0" fontId="4" fillId="4" borderId="5" xfId="0" applyFont="1" applyFill="1" applyBorder="1" applyAlignment="1">
      <alignment horizontal="center" vertical="center"/>
    </xf>
    <xf numFmtId="0" fontId="5" fillId="4" borderId="5" xfId="0" applyFont="1" applyFill="1" applyBorder="1" applyAlignment="1">
      <alignment horizontal="center" vertical="center" wrapText="1"/>
    </xf>
    <xf numFmtId="0" fontId="4" fillId="3" borderId="6" xfId="0" applyFont="1" applyFill="1" applyBorder="1" applyAlignment="1">
      <alignment vertical="center" wrapText="1"/>
    </xf>
    <xf numFmtId="0" fontId="4" fillId="2" borderId="6" xfId="0" applyFont="1" applyFill="1" applyBorder="1" applyAlignment="1">
      <alignment vertical="center" wrapText="1"/>
    </xf>
    <xf numFmtId="0" fontId="5" fillId="4" borderId="6" xfId="0" applyFont="1" applyFill="1" applyBorder="1" applyAlignment="1">
      <alignment vertical="center" wrapText="1"/>
    </xf>
    <xf numFmtId="164" fontId="4" fillId="3" borderId="7" xfId="0" applyNumberFormat="1" applyFont="1" applyFill="1" applyBorder="1" applyAlignment="1">
      <alignment horizontal="center" vertical="center"/>
    </xf>
    <xf numFmtId="164" fontId="4" fillId="2" borderId="7" xfId="0" applyNumberFormat="1" applyFont="1" applyFill="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4" fillId="2" borderId="11" xfId="0" applyFont="1" applyFill="1" applyBorder="1" applyAlignment="1">
      <alignment vertical="center" wrapText="1"/>
    </xf>
    <xf numFmtId="0" fontId="4" fillId="2" borderId="12" xfId="0" applyFont="1" applyFill="1" applyBorder="1" applyAlignment="1">
      <alignment horizontal="center" vertical="center"/>
    </xf>
    <xf numFmtId="15" fontId="4" fillId="2" borderId="12" xfId="0" applyNumberFormat="1" applyFont="1" applyFill="1" applyBorder="1" applyAlignment="1">
      <alignment horizontal="center" vertical="center"/>
    </xf>
    <xf numFmtId="15" fontId="4" fillId="2" borderId="13" xfId="0" applyNumberFormat="1" applyFont="1" applyFill="1" applyBorder="1" applyAlignment="1">
      <alignment horizontal="center" vertical="center"/>
    </xf>
    <xf numFmtId="0" fontId="4" fillId="4" borderId="6" xfId="0" applyFont="1" applyFill="1" applyBorder="1" applyAlignment="1">
      <alignment vertical="center" wrapText="1"/>
    </xf>
    <xf numFmtId="164" fontId="4" fillId="4" borderId="5" xfId="0" applyNumberFormat="1" applyFont="1" applyFill="1" applyBorder="1" applyAlignment="1">
      <alignment horizontal="center" vertical="center"/>
    </xf>
    <xf numFmtId="164" fontId="4" fillId="4" borderId="7" xfId="0" applyNumberFormat="1" applyFont="1" applyFill="1" applyBorder="1" applyAlignment="1">
      <alignment horizontal="center" vertical="center"/>
    </xf>
    <xf numFmtId="164" fontId="4" fillId="4" borderId="5" xfId="0" applyNumberFormat="1" applyFont="1" applyFill="1" applyBorder="1" applyAlignment="1">
      <alignment horizontal="center" vertical="center" wrapText="1"/>
    </xf>
    <xf numFmtId="164" fontId="4" fillId="4" borderId="7" xfId="0"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164" fontId="4" fillId="4" borderId="5" xfId="0" applyNumberFormat="1" applyFont="1" applyFill="1" applyBorder="1" applyAlignment="1">
      <alignment horizontal="center"/>
    </xf>
    <xf numFmtId="164" fontId="4" fillId="4" borderId="7" xfId="0" applyNumberFormat="1"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vertical="center" wrapText="1"/>
    </xf>
    <xf numFmtId="0" fontId="0" fillId="2" borderId="6" xfId="0" applyFill="1" applyBorder="1" applyAlignment="1">
      <alignment vertical="center" wrapText="1"/>
    </xf>
    <xf numFmtId="0" fontId="0" fillId="2" borderId="5" xfId="0" applyFill="1" applyBorder="1" applyAlignment="1">
      <alignment horizontal="center"/>
    </xf>
    <xf numFmtId="0" fontId="0" fillId="2" borderId="7" xfId="0" applyFill="1" applyBorder="1" applyAlignment="1">
      <alignment horizontal="center"/>
    </xf>
  </cellXfs>
  <cellStyles count="1">
    <cellStyle name="Normal" xfId="0" builtinId="0"/>
  </cellStyles>
  <dxfs count="6">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ck">
          <color indexed="64"/>
        </left>
        <right style="thick">
          <color indexed="64"/>
        </right>
        <top/>
        <bottom/>
      </border>
    </dxf>
    <dxf>
      <font>
        <b val="0"/>
        <i val="0"/>
        <strike val="0"/>
        <condense val="0"/>
        <extend val="0"/>
        <outline val="0"/>
        <shadow val="0"/>
        <u val="none"/>
        <vertAlign val="baseline"/>
        <sz val="12"/>
        <color theme="1"/>
        <name val="Times New Roman"/>
        <family val="1"/>
        <scheme val="none"/>
      </font>
      <numFmt numFmtId="164" formatCode="[$-F800]dddd\,\ mmmm\ dd\,\ yyyy"/>
      <alignment horizontal="center" vertical="bottom" textRotation="0" wrapText="0" indent="0" justifyLastLine="0" shrinkToFit="0" readingOrder="0"/>
      <border diagonalUp="0" diagonalDown="0">
        <left style="thick">
          <color indexed="64"/>
        </left>
        <right/>
        <top style="thick">
          <color indexed="64"/>
        </top>
        <bottom style="thick">
          <color indexed="64"/>
        </bottom>
        <vertical/>
        <horizontal/>
      </border>
    </dxf>
    <dxf>
      <font>
        <b val="0"/>
        <i val="0"/>
        <strike val="0"/>
        <condense val="0"/>
        <extend val="0"/>
        <outline val="0"/>
        <shadow val="0"/>
        <u val="none"/>
        <vertAlign val="baseline"/>
        <sz val="12"/>
        <color theme="1"/>
        <name val="Times New Roman"/>
        <family val="1"/>
        <scheme val="none"/>
      </font>
      <numFmt numFmtId="164" formatCode="[$-F800]dddd\,\ mmmm\ dd\,\ yyyy"/>
      <alignment horizontal="center" vertical="bottom" textRotation="0" wrapText="0" indent="0" justifyLastLine="0" shrinkToFit="0" readingOrder="0"/>
      <border diagonalUp="0" diagonalDown="0">
        <left style="thick">
          <color indexed="64"/>
        </left>
        <right style="thick">
          <color indexed="64"/>
        </right>
        <top style="thick">
          <color indexed="64"/>
        </top>
        <bottom style="thick">
          <color indexed="64"/>
        </bottom>
        <vertical/>
        <horizontal/>
      </border>
    </dxf>
    <dxf>
      <border outline="0">
        <top style="thick">
          <color indexed="64"/>
        </top>
      </border>
    </dxf>
    <dxf>
      <border outline="0">
        <bottom style="thick">
          <color indexed="64"/>
        </bottom>
      </border>
    </dxf>
    <dxf>
      <border outline="0">
        <left style="thick">
          <color indexed="64"/>
        </left>
        <right style="thick">
          <color indexed="64"/>
        </right>
        <top style="thick">
          <color indexed="64"/>
        </top>
        <bottom style="thick">
          <color indexed="64"/>
        </bottom>
      </border>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47626</xdr:colOff>
      <xdr:row>0</xdr:row>
      <xdr:rowOff>38099</xdr:rowOff>
    </xdr:from>
    <xdr:to>
      <xdr:col>0</xdr:col>
      <xdr:colOff>1710640</xdr:colOff>
      <xdr:row>2</xdr:row>
      <xdr:rowOff>142874</xdr:rowOff>
    </xdr:to>
    <xdr:pic>
      <xdr:nvPicPr>
        <xdr:cNvPr id="2" name="Imagen 1" descr="Universidad de Guayaquil – UG">
          <a:extLst>
            <a:ext uri="{FF2B5EF4-FFF2-40B4-BE49-F238E27FC236}">
              <a16:creationId xmlns:a16="http://schemas.microsoft.com/office/drawing/2014/main" id="{AEA1F602-1D8B-8B7B-DE3D-E4A72D7454A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220" b="29985"/>
        <a:stretch>
          <a:fillRect/>
        </a:stretch>
      </xdr:blipFill>
      <xdr:spPr bwMode="auto">
        <a:xfrm>
          <a:off x="47626" y="38099"/>
          <a:ext cx="1663014"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49E6D0-9732-48FF-8A91-62DF0AEC3354}" name="Tabla1" displayName="Tabla1" ref="B5:E34" totalsRowShown="0" headerRowDxfId="0" headerRowBorderDxfId="4" tableBorderDxfId="5" totalsRowBorderDxfId="3">
  <autoFilter ref="B5:E34" xr:uid="{3949E6D0-9732-48FF-8A91-62DF0AEC3354}"/>
  <tableColumns count="4">
    <tableColumn id="1" xr3:uid="{00309FD0-2E6A-4F7E-AC42-E24E35255284}" name="Detalle de la actividad"/>
    <tableColumn id="2" xr3:uid="{BA788491-6B5E-4025-BA4A-73F5C27F423B}" name="Duración"/>
    <tableColumn id="3" xr3:uid="{2779A37D-62F1-4D0D-9F7F-7C52CD8A37D6}" name="Comienzo" dataDxfId="2"/>
    <tableColumn id="4" xr3:uid="{783B852C-B7AD-4343-97AE-5AAF226F51CD}" name="Fin"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41"/>
  <sheetViews>
    <sheetView tabSelected="1" topLeftCell="A25" zoomScale="80" zoomScaleNormal="80" workbookViewId="0">
      <selection activeCell="B32" sqref="B32"/>
    </sheetView>
  </sheetViews>
  <sheetFormatPr baseColWidth="10" defaultColWidth="9.140625" defaultRowHeight="15" x14ac:dyDescent="0.25"/>
  <cols>
    <col min="1" max="1" width="26.5703125" customWidth="1"/>
    <col min="2" max="2" width="80" style="2" bestFit="1" customWidth="1"/>
    <col min="3" max="3" width="16" style="1" bestFit="1" customWidth="1"/>
    <col min="4" max="5" width="35.140625" style="1" bestFit="1" customWidth="1"/>
  </cols>
  <sheetData>
    <row r="1" spans="2:12" x14ac:dyDescent="0.25">
      <c r="B1" s="2" t="s">
        <v>13</v>
      </c>
      <c r="C1" s="12" t="s">
        <v>7</v>
      </c>
      <c r="D1" s="12"/>
      <c r="E1" s="12"/>
    </row>
    <row r="2" spans="2:12" x14ac:dyDescent="0.25">
      <c r="B2" s="2" t="s">
        <v>4</v>
      </c>
      <c r="C2" s="13" t="s">
        <v>6</v>
      </c>
      <c r="D2" s="13"/>
      <c r="E2" s="13"/>
    </row>
    <row r="3" spans="2:12" x14ac:dyDescent="0.25">
      <c r="B3" s="2" t="s">
        <v>5</v>
      </c>
    </row>
    <row r="4" spans="2:12" x14ac:dyDescent="0.25">
      <c r="B4" s="15"/>
    </row>
    <row r="5" spans="2:12" ht="16.5" thickBot="1" x14ac:dyDescent="0.3">
      <c r="B5" s="27" t="s">
        <v>3</v>
      </c>
      <c r="C5" s="28" t="s">
        <v>0</v>
      </c>
      <c r="D5" s="28" t="s">
        <v>1</v>
      </c>
      <c r="E5" s="29" t="s">
        <v>2</v>
      </c>
    </row>
    <row r="6" spans="2:12" s="11" customFormat="1" ht="54.75" customHeight="1" thickTop="1" thickBot="1" x14ac:dyDescent="0.3">
      <c r="B6" s="22" t="s">
        <v>9</v>
      </c>
      <c r="C6" s="16"/>
      <c r="D6" s="17">
        <v>45979</v>
      </c>
      <c r="E6" s="25">
        <v>45979</v>
      </c>
    </row>
    <row r="7" spans="2:12" ht="39" customHeight="1" thickTop="1" thickBot="1" x14ac:dyDescent="0.3">
      <c r="B7" s="34" t="s">
        <v>10</v>
      </c>
      <c r="C7" s="20">
        <v>3</v>
      </c>
      <c r="D7" s="35">
        <v>45980</v>
      </c>
      <c r="E7" s="36">
        <v>45980</v>
      </c>
    </row>
    <row r="8" spans="2:12" s="10" customFormat="1" ht="18.75" customHeight="1" thickTop="1" thickBot="1" x14ac:dyDescent="0.3">
      <c r="B8" s="23"/>
      <c r="C8" s="18"/>
      <c r="D8" s="19"/>
      <c r="E8" s="26"/>
      <c r="F8"/>
      <c r="G8"/>
      <c r="H8"/>
      <c r="I8"/>
      <c r="J8"/>
      <c r="K8"/>
      <c r="L8"/>
    </row>
    <row r="9" spans="2:12" ht="53.25" customHeight="1" thickTop="1" thickBot="1" x14ac:dyDescent="0.3">
      <c r="B9" s="34" t="s">
        <v>12</v>
      </c>
      <c r="C9" s="20">
        <v>3</v>
      </c>
      <c r="D9" s="35">
        <v>45987</v>
      </c>
      <c r="E9" s="36">
        <v>45987</v>
      </c>
    </row>
    <row r="10" spans="2:12" ht="19.5" customHeight="1" thickTop="1" thickBot="1" x14ac:dyDescent="0.3">
      <c r="B10" s="23"/>
      <c r="C10" s="18"/>
      <c r="D10" s="19"/>
      <c r="E10" s="26"/>
    </row>
    <row r="11" spans="2:12" ht="47.25" customHeight="1" thickTop="1" thickBot="1" x14ac:dyDescent="0.3">
      <c r="B11" s="34" t="s">
        <v>11</v>
      </c>
      <c r="C11" s="20">
        <v>3</v>
      </c>
      <c r="D11" s="37">
        <v>45994</v>
      </c>
      <c r="E11" s="38">
        <v>45994</v>
      </c>
    </row>
    <row r="12" spans="2:12" ht="21" customHeight="1" thickTop="1" thickBot="1" x14ac:dyDescent="0.3">
      <c r="B12" s="23"/>
      <c r="C12" s="18"/>
      <c r="D12" s="19"/>
      <c r="E12" s="26"/>
    </row>
    <row r="13" spans="2:12" ht="17.25" thickTop="1" thickBot="1" x14ac:dyDescent="0.3">
      <c r="B13" s="34" t="s">
        <v>14</v>
      </c>
      <c r="C13" s="39">
        <v>3</v>
      </c>
      <c r="D13" s="40">
        <v>46029</v>
      </c>
      <c r="E13" s="41">
        <v>46029</v>
      </c>
    </row>
    <row r="14" spans="2:12" ht="19.5" customHeight="1" thickTop="1" thickBot="1" x14ac:dyDescent="0.3">
      <c r="B14" s="23"/>
      <c r="C14" s="18"/>
      <c r="D14" s="19"/>
      <c r="E14" s="26"/>
    </row>
    <row r="15" spans="2:12" ht="48.75" thickTop="1" thickBot="1" x14ac:dyDescent="0.3">
      <c r="B15" s="24" t="s">
        <v>15</v>
      </c>
      <c r="C15" s="21">
        <v>5</v>
      </c>
      <c r="D15" s="40">
        <v>46035</v>
      </c>
      <c r="E15" s="41">
        <v>46035</v>
      </c>
    </row>
    <row r="16" spans="2:12" ht="33" thickTop="1" thickBot="1" x14ac:dyDescent="0.3">
      <c r="B16" s="34" t="s">
        <v>16</v>
      </c>
      <c r="C16" s="20">
        <v>5</v>
      </c>
      <c r="D16" s="40">
        <v>46036</v>
      </c>
      <c r="E16" s="41">
        <v>46036</v>
      </c>
    </row>
    <row r="17" spans="2:7" ht="54.75" customHeight="1" thickTop="1" thickBot="1" x14ac:dyDescent="0.3">
      <c r="B17" s="34" t="s">
        <v>17</v>
      </c>
      <c r="C17" s="39">
        <v>5</v>
      </c>
      <c r="D17" s="40">
        <v>46038</v>
      </c>
      <c r="E17" s="41">
        <v>46038</v>
      </c>
    </row>
    <row r="18" spans="2:7" ht="18.75" customHeight="1" thickTop="1" thickBot="1" x14ac:dyDescent="0.3">
      <c r="B18" s="23"/>
      <c r="C18" s="18"/>
      <c r="D18" s="19"/>
      <c r="E18" s="26"/>
    </row>
    <row r="19" spans="2:7" ht="111.75" thickTop="1" thickBot="1" x14ac:dyDescent="0.3">
      <c r="B19" s="34" t="s">
        <v>18</v>
      </c>
      <c r="C19" s="39">
        <v>5</v>
      </c>
      <c r="D19" s="40">
        <v>46041</v>
      </c>
      <c r="E19" s="41">
        <v>46041</v>
      </c>
    </row>
    <row r="20" spans="2:7" ht="64.5" thickTop="1" thickBot="1" x14ac:dyDescent="0.3">
      <c r="B20" s="34" t="s">
        <v>19</v>
      </c>
      <c r="C20" s="39">
        <v>3</v>
      </c>
      <c r="D20" s="40">
        <v>46042</v>
      </c>
      <c r="E20" s="41">
        <v>46042</v>
      </c>
    </row>
    <row r="21" spans="2:7" ht="100.5" customHeight="1" thickTop="1" thickBot="1" x14ac:dyDescent="0.3">
      <c r="B21" s="34" t="s">
        <v>20</v>
      </c>
      <c r="C21" s="39">
        <v>5</v>
      </c>
      <c r="D21" s="40">
        <v>46043</v>
      </c>
      <c r="E21" s="41">
        <v>46043</v>
      </c>
    </row>
    <row r="22" spans="2:7" ht="48.75" thickTop="1" thickBot="1" x14ac:dyDescent="0.3">
      <c r="B22" s="34" t="s">
        <v>28</v>
      </c>
      <c r="C22" s="39">
        <v>5</v>
      </c>
      <c r="D22" s="40">
        <v>46045</v>
      </c>
      <c r="E22" s="41">
        <v>46045</v>
      </c>
    </row>
    <row r="23" spans="2:7" ht="12" customHeight="1" thickTop="1" thickBot="1" x14ac:dyDescent="0.3">
      <c r="B23" s="23"/>
      <c r="C23" s="18"/>
      <c r="D23" s="19"/>
      <c r="E23" s="26"/>
    </row>
    <row r="24" spans="2:7" ht="64.5" thickTop="1" thickBot="1" x14ac:dyDescent="0.3">
      <c r="B24" s="34" t="s">
        <v>22</v>
      </c>
      <c r="C24" s="39">
        <v>5</v>
      </c>
      <c r="D24" s="40">
        <v>46048</v>
      </c>
      <c r="E24" s="41">
        <v>46048</v>
      </c>
    </row>
    <row r="25" spans="2:7" ht="96" thickTop="1" thickBot="1" x14ac:dyDescent="0.3">
      <c r="B25" s="34" t="s">
        <v>21</v>
      </c>
      <c r="C25" s="39">
        <v>5</v>
      </c>
      <c r="D25" s="40">
        <v>46049</v>
      </c>
      <c r="E25" s="41">
        <v>46049</v>
      </c>
    </row>
    <row r="26" spans="2:7" ht="33.75" customHeight="1" thickTop="1" thickBot="1" x14ac:dyDescent="0.3">
      <c r="B26" s="34" t="s">
        <v>26</v>
      </c>
      <c r="C26" s="39">
        <v>5</v>
      </c>
      <c r="D26" s="40">
        <v>46052</v>
      </c>
      <c r="E26" s="41">
        <v>46052</v>
      </c>
    </row>
    <row r="27" spans="2:7" ht="17.25" customHeight="1" thickTop="1" thickBot="1" x14ac:dyDescent="0.3">
      <c r="B27" s="23"/>
      <c r="C27" s="18"/>
      <c r="D27" s="19"/>
      <c r="E27" s="26"/>
      <c r="F27" s="5"/>
      <c r="G27" s="4"/>
    </row>
    <row r="28" spans="2:7" ht="39.75" customHeight="1" thickTop="1" thickBot="1" x14ac:dyDescent="0.3">
      <c r="B28" s="34" t="s">
        <v>23</v>
      </c>
      <c r="C28" s="39">
        <v>5</v>
      </c>
      <c r="D28" s="40">
        <v>46055</v>
      </c>
      <c r="E28" s="41">
        <v>46055</v>
      </c>
      <c r="F28" s="5"/>
      <c r="G28" s="4"/>
    </row>
    <row r="29" spans="2:7" ht="64.5" thickTop="1" thickBot="1" x14ac:dyDescent="0.3">
      <c r="B29" s="34" t="s">
        <v>24</v>
      </c>
      <c r="C29" s="39">
        <v>4</v>
      </c>
      <c r="D29" s="40">
        <v>46057</v>
      </c>
      <c r="E29" s="41">
        <v>46057</v>
      </c>
      <c r="F29" s="5"/>
      <c r="G29" s="4"/>
    </row>
    <row r="30" spans="2:7" ht="33" thickTop="1" thickBot="1" x14ac:dyDescent="0.3">
      <c r="B30" s="34" t="s">
        <v>25</v>
      </c>
      <c r="C30" s="39">
        <v>5</v>
      </c>
      <c r="D30" s="40">
        <v>46058</v>
      </c>
      <c r="E30" s="41">
        <v>46058</v>
      </c>
      <c r="F30" s="5"/>
      <c r="G30" s="4"/>
    </row>
    <row r="31" spans="2:7" ht="21" customHeight="1" thickTop="1" thickBot="1" x14ac:dyDescent="0.3">
      <c r="B31" s="44"/>
      <c r="C31" s="45"/>
      <c r="D31" s="45"/>
      <c r="E31" s="46"/>
      <c r="F31" s="3"/>
      <c r="G31" s="3"/>
    </row>
    <row r="32" spans="2:7" ht="36.75" customHeight="1" thickTop="1" thickBot="1" x14ac:dyDescent="0.3">
      <c r="B32" s="34" t="s">
        <v>27</v>
      </c>
      <c r="C32" s="42">
        <v>5</v>
      </c>
      <c r="D32" s="40">
        <v>46062</v>
      </c>
      <c r="E32" s="41">
        <v>46062</v>
      </c>
    </row>
    <row r="33" spans="2:13" ht="24" customHeight="1" thickTop="1" thickBot="1" x14ac:dyDescent="0.3">
      <c r="B33" s="43"/>
      <c r="C33" s="42">
        <v>5</v>
      </c>
      <c r="D33" s="40">
        <v>46063</v>
      </c>
      <c r="E33" s="41">
        <v>46063</v>
      </c>
      <c r="K33" s="14" t="s">
        <v>8</v>
      </c>
      <c r="L33" s="14"/>
      <c r="M33" s="9">
        <f>SUM(C6:C41)</f>
        <v>188</v>
      </c>
    </row>
    <row r="34" spans="2:13" ht="16.5" thickTop="1" x14ac:dyDescent="0.25">
      <c r="B34" s="30"/>
      <c r="C34" s="31"/>
      <c r="D34" s="32"/>
      <c r="E34" s="33"/>
    </row>
    <row r="35" spans="2:13" x14ac:dyDescent="0.25">
      <c r="C35" s="1">
        <f>SUM(C6:C33)</f>
        <v>84</v>
      </c>
      <c r="D35" s="1">
        <v>76</v>
      </c>
      <c r="E35" s="1">
        <f>D35-C35</f>
        <v>-8</v>
      </c>
    </row>
    <row r="37" spans="2:13" x14ac:dyDescent="0.25">
      <c r="C37" s="6">
        <v>4</v>
      </c>
      <c r="D37" s="7">
        <v>46000</v>
      </c>
      <c r="E37" s="7">
        <v>46000</v>
      </c>
    </row>
    <row r="38" spans="2:13" x14ac:dyDescent="0.25">
      <c r="C38" s="6">
        <v>4</v>
      </c>
      <c r="D38" s="7">
        <v>46003</v>
      </c>
      <c r="E38" s="7">
        <v>46003</v>
      </c>
    </row>
    <row r="39" spans="2:13" x14ac:dyDescent="0.25">
      <c r="C39" s="6">
        <v>4</v>
      </c>
      <c r="D39" s="7">
        <v>46006</v>
      </c>
      <c r="E39" s="7">
        <v>46006</v>
      </c>
    </row>
    <row r="40" spans="2:13" x14ac:dyDescent="0.25">
      <c r="C40" s="6">
        <v>4</v>
      </c>
      <c r="D40" s="7">
        <v>46007</v>
      </c>
      <c r="E40" s="8">
        <v>46007</v>
      </c>
    </row>
    <row r="41" spans="2:13" x14ac:dyDescent="0.25">
      <c r="C41" s="6">
        <v>4</v>
      </c>
      <c r="D41" s="7">
        <v>46008</v>
      </c>
      <c r="E41" s="7">
        <v>46008</v>
      </c>
    </row>
  </sheetData>
  <mergeCells count="3">
    <mergeCell ref="C1:E1"/>
    <mergeCell ref="C2:E2"/>
    <mergeCell ref="K33:L33"/>
  </mergeCells>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Tabla_Tareas</vt:lpstr>
      <vt:lpstr>Tabla_Tareas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Melanye Lainez</dc:creator>
  <cp:lastModifiedBy>Maria Tenesaca</cp:lastModifiedBy>
  <dcterms:created xsi:type="dcterms:W3CDTF">2025-08-15T19:41:19Z</dcterms:created>
  <dcterms:modified xsi:type="dcterms:W3CDTF">2026-02-09T22:59:03Z</dcterms:modified>
</cp:coreProperties>
</file>