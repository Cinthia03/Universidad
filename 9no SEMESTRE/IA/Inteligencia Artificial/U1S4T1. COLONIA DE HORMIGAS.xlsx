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34b67dfe8cd8862/ARCHIVOS UG/9no Semestre/Inteligencia Artificial/"/>
    </mc:Choice>
  </mc:AlternateContent>
  <xr:revisionPtr revIDLastSave="0" documentId="8_{5DE3C4D8-1B22-4A4C-97CE-3D2A5587905A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Aristas" sheetId="1" r:id="rId1"/>
    <sheet name="Feromonas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I20" i="1"/>
  <c r="O14" i="1"/>
  <c r="O13" i="1"/>
  <c r="O12" i="1"/>
  <c r="O11" i="1"/>
  <c r="O10" i="1"/>
  <c r="O9" i="1"/>
  <c r="O8" i="1"/>
  <c r="O7" i="1"/>
  <c r="O6" i="1"/>
  <c r="O5" i="1"/>
  <c r="O4" i="1"/>
  <c r="E3" i="7"/>
  <c r="E4" i="7"/>
  <c r="E5" i="7"/>
  <c r="E6" i="7"/>
  <c r="E7" i="7"/>
  <c r="E8" i="7"/>
  <c r="E9" i="7"/>
  <c r="E10" i="7"/>
  <c r="E11" i="7"/>
  <c r="E12" i="7"/>
  <c r="E2" i="7"/>
</calcChain>
</file>

<file path=xl/sharedStrings.xml><?xml version="1.0" encoding="utf-8"?>
<sst xmlns="http://schemas.openxmlformats.org/spreadsheetml/2006/main" count="69" uniqueCount="45">
  <si>
    <t>Nodo A</t>
  </si>
  <si>
    <t>Nodo B</t>
  </si>
  <si>
    <t>Distancia</t>
  </si>
  <si>
    <t>Recorrido</t>
  </si>
  <si>
    <t>Costo_total</t>
  </si>
  <si>
    <t>1 → 3 → 7 → 4</t>
  </si>
  <si>
    <t>Hormiga</t>
  </si>
  <si>
    <t>Nodo_actual</t>
  </si>
  <si>
    <t>Siguiente_nodo</t>
  </si>
  <si>
    <t>Atractividad</t>
  </si>
  <si>
    <t>Probabilidad</t>
  </si>
  <si>
    <t>Aleatorio_r</t>
  </si>
  <si>
    <t>Camino</t>
  </si>
  <si>
    <t>Tau_inicial</t>
  </si>
  <si>
    <t>DeltaTau_hormiga1</t>
  </si>
  <si>
    <t>DeltaTau_hormiga2</t>
  </si>
  <si>
    <t>Tau_nuevo</t>
  </si>
  <si>
    <t>1-2</t>
  </si>
  <si>
    <t>1-3</t>
  </si>
  <si>
    <t>1-6</t>
  </si>
  <si>
    <t>2-3</t>
  </si>
  <si>
    <t>2-7</t>
  </si>
  <si>
    <t>3-7</t>
  </si>
  <si>
    <t>3-5</t>
  </si>
  <si>
    <t>3-6</t>
  </si>
  <si>
    <t>5-6</t>
  </si>
  <si>
    <t>4-7</t>
  </si>
  <si>
    <t>4-5</t>
  </si>
  <si>
    <t>ARISTAS</t>
  </si>
  <si>
    <t>RECORRIDO</t>
  </si>
  <si>
    <t>Visibilidad (n)</t>
  </si>
  <si>
    <t>t</t>
  </si>
  <si>
    <t>1/5</t>
  </si>
  <si>
    <t>1/3,1</t>
  </si>
  <si>
    <t>1/5,2</t>
  </si>
  <si>
    <t>1/4,9</t>
  </si>
  <si>
    <t>1/3,2</t>
  </si>
  <si>
    <t>1/4,7</t>
  </si>
  <si>
    <t>1/3</t>
  </si>
  <si>
    <t>1/6</t>
  </si>
  <si>
    <t>1/5,5</t>
  </si>
  <si>
    <t>1/4,8</t>
  </si>
  <si>
    <t>1 → 3 → 5 → 4</t>
  </si>
  <si>
    <t xml:space="preserve">Probabilística 1 </t>
  </si>
  <si>
    <t xml:space="preserve">Probabilística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</si>
</sst>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3" borderId="1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4" fillId="0" borderId="10" xfId="0" applyNumberFormat="1" applyFont="1" applyBorder="1" applyAlignment="1">
      <alignment horizontal="center"/>
    </xf>
    <xf numFmtId="165" fontId="4" fillId="0" borderId="15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4" fillId="9" borderId="9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165" fontId="4" fillId="9" borderId="1" xfId="0" applyNumberFormat="1" applyFont="1" applyFill="1" applyBorder="1" applyAlignment="1">
      <alignment horizontal="center"/>
    </xf>
    <xf numFmtId="165" fontId="4" fillId="9" borderId="10" xfId="0" applyNumberFormat="1" applyFont="1" applyFill="1" applyBorder="1" applyAlignment="1">
      <alignment horizontal="center"/>
    </xf>
    <xf numFmtId="0" fontId="4" fillId="9" borderId="13" xfId="0" applyFont="1" applyFill="1" applyBorder="1" applyAlignment="1">
      <alignment horizontal="center"/>
    </xf>
    <xf numFmtId="0" fontId="4" fillId="9" borderId="14" xfId="0" applyFont="1" applyFill="1" applyBorder="1" applyAlignment="1">
      <alignment horizontal="center"/>
    </xf>
    <xf numFmtId="165" fontId="4" fillId="9" borderId="14" xfId="0" applyNumberFormat="1" applyFont="1" applyFill="1" applyBorder="1" applyAlignment="1">
      <alignment horizontal="center"/>
    </xf>
    <xf numFmtId="165" fontId="4" fillId="9" borderId="15" xfId="0" applyNumberFormat="1" applyFont="1" applyFill="1" applyBorder="1" applyAlignment="1">
      <alignment horizontal="center"/>
    </xf>
    <xf numFmtId="0" fontId="4" fillId="9" borderId="15" xfId="0" applyFont="1" applyFill="1" applyBorder="1" applyAlignment="1">
      <alignment horizontal="center"/>
    </xf>
  </cellXfs>
  <cellStyles count="1">
    <cellStyle name="Normal" xfId="0" builtinId="0"/>
  </cellStyles>
  <dxfs count="5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.0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.0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.0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0.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0.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0.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0.00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0.00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0.00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fill>
        <patternFill patternType="solid">
          <fgColor indexed="64"/>
          <bgColor theme="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1139976</xdr:colOff>
      <xdr:row>27</xdr:row>
      <xdr:rowOff>178404</xdr:rowOff>
    </xdr:from>
    <xdr:ext cx="5674995" cy="2700337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6DCE8E3-DD43-4C10-937B-32B245DD643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62297" y="5607654"/>
          <a:ext cx="5674995" cy="270033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oneCellAnchor>
  <xdr:twoCellAnchor editAs="oneCell">
    <xdr:from>
      <xdr:col>7</xdr:col>
      <xdr:colOff>762001</xdr:colOff>
      <xdr:row>3</xdr:row>
      <xdr:rowOff>136073</xdr:rowOff>
    </xdr:from>
    <xdr:to>
      <xdr:col>9</xdr:col>
      <xdr:colOff>1301554</xdr:colOff>
      <xdr:row>11</xdr:row>
      <xdr:rowOff>116917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392F41-8C29-4795-BE2A-101B494D0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88287" y="734787"/>
          <a:ext cx="3274588" cy="1613701"/>
        </a:xfrm>
        <a:prstGeom prst="rect">
          <a:avLst/>
        </a:prstGeom>
      </xdr:spPr>
    </xdr:pic>
    <xdr:clientData/>
  </xdr:twoCellAnchor>
  <xdr:twoCellAnchor>
    <xdr:from>
      <xdr:col>5</xdr:col>
      <xdr:colOff>843642</xdr:colOff>
      <xdr:row>35</xdr:row>
      <xdr:rowOff>126316</xdr:rowOff>
    </xdr:from>
    <xdr:to>
      <xdr:col>6</xdr:col>
      <xdr:colOff>1251857</xdr:colOff>
      <xdr:row>35</xdr:row>
      <xdr:rowOff>139923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D016F856-474B-301A-FC9D-D0C665A624DE}"/>
            </a:ext>
          </a:extLst>
        </xdr:cNvPr>
        <xdr:cNvCxnSpPr/>
      </xdr:nvCxnSpPr>
      <xdr:spPr>
        <a:xfrm flipV="1">
          <a:off x="6513713" y="6919618"/>
          <a:ext cx="1980738" cy="13607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1213090</xdr:colOff>
      <xdr:row>35</xdr:row>
      <xdr:rowOff>134788</xdr:rowOff>
    </xdr:from>
    <xdr:to>
      <xdr:col>7</xdr:col>
      <xdr:colOff>1033373</xdr:colOff>
      <xdr:row>40</xdr:row>
      <xdr:rowOff>71887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D607086F-BE58-4008-B286-EDF5EDD2F147}"/>
            </a:ext>
          </a:extLst>
        </xdr:cNvPr>
        <xdr:cNvCxnSpPr/>
      </xdr:nvCxnSpPr>
      <xdr:spPr>
        <a:xfrm>
          <a:off x="8455684" y="6928090"/>
          <a:ext cx="1491651" cy="880613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1024387</xdr:colOff>
      <xdr:row>35</xdr:row>
      <xdr:rowOff>125802</xdr:rowOff>
    </xdr:from>
    <xdr:to>
      <xdr:col>8</xdr:col>
      <xdr:colOff>332476</xdr:colOff>
      <xdr:row>40</xdr:row>
      <xdr:rowOff>53915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CE8AF490-6881-453C-ABFE-B5BAA4F681C0}"/>
            </a:ext>
          </a:extLst>
        </xdr:cNvPr>
        <xdr:cNvCxnSpPr/>
      </xdr:nvCxnSpPr>
      <xdr:spPr>
        <a:xfrm flipV="1">
          <a:off x="9938349" y="6919104"/>
          <a:ext cx="754811" cy="871627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852269</xdr:colOff>
      <xdr:row>35</xdr:row>
      <xdr:rowOff>36097</xdr:rowOff>
    </xdr:from>
    <xdr:to>
      <xdr:col>6</xdr:col>
      <xdr:colOff>1260484</xdr:colOff>
      <xdr:row>35</xdr:row>
      <xdr:rowOff>49704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3EA77358-54B9-4D52-873F-6F5157906E7F}"/>
            </a:ext>
          </a:extLst>
        </xdr:cNvPr>
        <xdr:cNvCxnSpPr/>
      </xdr:nvCxnSpPr>
      <xdr:spPr>
        <a:xfrm flipV="1">
          <a:off x="6522340" y="6829399"/>
          <a:ext cx="1980738" cy="13607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1195118</xdr:colOff>
      <xdr:row>29</xdr:row>
      <xdr:rowOff>107830</xdr:rowOff>
    </xdr:from>
    <xdr:to>
      <xdr:col>7</xdr:col>
      <xdr:colOff>853656</xdr:colOff>
      <xdr:row>35</xdr:row>
      <xdr:rowOff>26957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ED497CE3-42D2-46E4-882E-03F59E8798E7}"/>
            </a:ext>
          </a:extLst>
        </xdr:cNvPr>
        <xdr:cNvCxnSpPr/>
      </xdr:nvCxnSpPr>
      <xdr:spPr>
        <a:xfrm flipV="1">
          <a:off x="8437712" y="5768915"/>
          <a:ext cx="1329906" cy="1051344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844670</xdr:colOff>
      <xdr:row>29</xdr:row>
      <xdr:rowOff>98844</xdr:rowOff>
    </xdr:from>
    <xdr:to>
      <xdr:col>8</xdr:col>
      <xdr:colOff>359434</xdr:colOff>
      <xdr:row>34</xdr:row>
      <xdr:rowOff>134788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6CE66489-C70F-41C4-9552-97BD840C570F}"/>
            </a:ext>
          </a:extLst>
        </xdr:cNvPr>
        <xdr:cNvCxnSpPr/>
      </xdr:nvCxnSpPr>
      <xdr:spPr>
        <a:xfrm>
          <a:off x="9758632" y="5759929"/>
          <a:ext cx="961486" cy="979458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23FF8F-2DFA-4C2F-B29E-B9A5BCD7D8D8}" name="Tabla1" displayName="Tabla1" ref="C3:G14" totalsRowShown="0" headerRowDxfId="49" dataDxfId="47" headerRowBorderDxfId="48" tableBorderDxfId="46" totalsRowBorderDxfId="45">
  <autoFilter ref="C3:G14" xr:uid="{06852702-E006-4CCA-9470-CB82083E707C}"/>
  <tableColumns count="5">
    <tableColumn id="1" xr3:uid="{0BBAC2C9-362D-4774-BB03-FA42EF2D6723}" name="Nodo A" dataDxfId="44"/>
    <tableColumn id="2" xr3:uid="{6D8B99F0-E25F-4C81-9C35-89FEF0F06A0E}" name="Nodo B" dataDxfId="43"/>
    <tableColumn id="3" xr3:uid="{194D41B3-6B77-4C61-804E-9008342431DD}" name="Distancia" dataDxfId="42"/>
    <tableColumn id="4" xr3:uid="{76736C55-6E85-4938-9199-1FEDD4E005D5}" name="Visibilidad (n)" dataDxfId="41"/>
    <tableColumn id="5" xr3:uid="{01696F64-9D9F-4387-8CFA-227F74EBD107}" name="t" data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B03493-384E-4B0C-9EA9-9DF998143300}" name="Tabla2" displayName="Tabla2" ref="K3:O14" totalsRowShown="0" headerRowDxfId="25" dataDxfId="24" headerRowBorderDxfId="22" tableBorderDxfId="23" totalsRowBorderDxfId="21">
  <autoFilter ref="K3:O14" xr:uid="{6696C669-3090-4202-9406-991A47060532}"/>
  <tableColumns count="5">
    <tableColumn id="1" xr3:uid="{D4B2760C-1868-4559-88C5-4C41A46B930B}" name="Camino" dataDxfId="20"/>
    <tableColumn id="2" xr3:uid="{55700714-3E3F-48FD-9715-7DD97A9779C1}" name="Tau_inicial" dataDxfId="19"/>
    <tableColumn id="3" xr3:uid="{057906A9-D647-4EBC-BADF-E924A408CA43}" name="DeltaTau_hormiga1" dataDxfId="18"/>
    <tableColumn id="4" xr3:uid="{B180C564-F414-4455-8FDE-792966F44B1C}" name="DeltaTau_hormiga2" dataDxfId="17"/>
    <tableColumn id="5" xr3:uid="{33104F92-6FFF-4201-ADC7-AD682A42999E}" name="Tau_nuevo" dataDxfId="16">
      <calculatedColumnFormula>L4+M4+N4</calculatedColumnFormula>
    </tableColumn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FFFB7A-C267-4B94-9EA3-72A3CE1E8CAB}" name="Tabla3" displayName="Tabla3" ref="G18:I20" totalsRowShown="0" headerRowDxfId="39" dataDxfId="37" headerRowBorderDxfId="38" tableBorderDxfId="36" totalsRowBorderDxfId="35">
  <autoFilter ref="G18:I20" xr:uid="{B1FB6781-3035-4728-B504-7871F0E8040C}"/>
  <tableColumns count="3">
    <tableColumn id="1" xr3:uid="{4B86C0E9-2F38-4ECE-8FD0-B1C396E214E4}" name="Hormiga" dataDxfId="34"/>
    <tableColumn id="2" xr3:uid="{28CB13BB-386F-441B-8597-01A8950312C0}" name="Recorrido" dataDxfId="33"/>
    <tableColumn id="3" xr3:uid="{44894032-0778-4F4E-AA1D-EDF9D0DC8B48}" name="Costo_total" dataDxfId="32">
      <calculatedColumnFormula>E4+E8+E12</calculatedColumnFormula>
    </tableColumn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B64F53-46E1-4403-B8DF-F234935DA54C}" name="Tabla4" displayName="Tabla4" ref="B23:G26" totalsRowShown="0" headerRowDxfId="11" dataDxfId="10" headerRowBorderDxfId="8" tableBorderDxfId="9" totalsRowBorderDxfId="7">
  <autoFilter ref="B23:G26" xr:uid="{F394CF5E-869A-4CAF-A37D-08E71EBC4493}"/>
  <tableColumns count="6">
    <tableColumn id="1" xr3:uid="{01AC8ED8-A8B2-4115-9165-A8311F5FAAC5}" name="Nodo_actual" dataDxfId="6"/>
    <tableColumn id="2" xr3:uid="{19813190-1742-43D3-8ACE-1B393D014606}" name="Siguiente_nodo" dataDxfId="5"/>
    <tableColumn id="3" xr3:uid="{AECBF0BA-C917-4A4E-A412-A65168E4838E}" name="Distancia" dataDxfId="4"/>
    <tableColumn id="4" xr3:uid="{02EEB963-EA9A-4678-8A0F-7CBEBCAFF040}" name="Atractividad" dataDxfId="3"/>
    <tableColumn id="5" xr3:uid="{2B8D018A-4BB6-4B43-8E9E-4FB0F8468C23}" name="Probabilidad" dataDxfId="2"/>
    <tableColumn id="6" xr3:uid="{0DF281BF-4504-4331-B479-89B2055909C6}" name="Aleatorio_r" dataDxfId="1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E6455C-A313-4679-B452-ED032D3822D3}" name="Tabla5" displayName="Tabla5" ref="I23:N26" totalsRowShown="0" headerRowDxfId="0" dataDxfId="30" headerRowBorderDxfId="31" tableBorderDxfId="29" totalsRowBorderDxfId="28">
  <autoFilter ref="I23:N26" xr:uid="{84464705-A621-49DA-902D-926606463C94}"/>
  <tableColumns count="6">
    <tableColumn id="1" xr3:uid="{B95A5CDB-5705-4F3B-8167-886BD7281D63}" name="Nodo_actual" dataDxfId="27"/>
    <tableColumn id="2" xr3:uid="{BE51DF0C-253C-4016-B24D-7D344CFA4684}" name="Siguiente_nodo" dataDxfId="26"/>
    <tableColumn id="3" xr3:uid="{88B2D2A6-A1A9-45DB-BD3E-F93A0180478B}" name="Distancia" dataDxfId="15"/>
    <tableColumn id="4" xr3:uid="{0E241189-047C-42F8-8516-CD3632968093}" name="Atractividad" dataDxfId="14"/>
    <tableColumn id="5" xr3:uid="{407E3D57-3C77-4B3A-9A6E-DD7CF3439604}" name="Probabilidad" dataDxfId="13"/>
    <tableColumn id="6" xr3:uid="{77A68B04-5303-45AF-BA16-19E76C273E55}" name="Aleatorio_r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7"/>
  <sheetViews>
    <sheetView tabSelected="1" zoomScale="73" zoomScaleNormal="73" workbookViewId="0">
      <selection activeCell="I38" sqref="I38"/>
    </sheetView>
  </sheetViews>
  <sheetFormatPr baseColWidth="10" defaultColWidth="9.140625" defaultRowHeight="15" x14ac:dyDescent="0.25"/>
  <cols>
    <col min="1" max="1" width="8" customWidth="1"/>
    <col min="2" max="2" width="19.7109375" customWidth="1"/>
    <col min="3" max="3" width="21.28515625" customWidth="1"/>
    <col min="4" max="4" width="17.42578125" customWidth="1"/>
    <col min="5" max="5" width="18.7109375" customWidth="1"/>
    <col min="6" max="6" width="23.5703125" customWidth="1"/>
    <col min="7" max="7" width="25" customWidth="1"/>
    <col min="8" max="8" width="21.7109375" customWidth="1"/>
    <col min="9" max="9" width="19.28515625" customWidth="1"/>
    <col min="10" max="10" width="23.28515625" customWidth="1"/>
    <col min="11" max="11" width="17.5703125" customWidth="1"/>
    <col min="12" max="12" width="19.5703125" customWidth="1"/>
    <col min="13" max="13" width="28.28515625" customWidth="1"/>
    <col min="14" max="14" width="24.42578125" customWidth="1"/>
    <col min="15" max="15" width="14.85546875" customWidth="1"/>
  </cols>
  <sheetData>
    <row r="2" spans="2:15" ht="15.75" x14ac:dyDescent="0.25">
      <c r="B2" s="10"/>
      <c r="C2" s="30" t="s">
        <v>28</v>
      </c>
      <c r="D2" s="30"/>
      <c r="E2" s="30"/>
      <c r="F2" s="30"/>
      <c r="G2" s="30"/>
      <c r="H2" s="10"/>
      <c r="I2" s="30"/>
      <c r="J2" s="30"/>
      <c r="K2" s="30"/>
      <c r="L2" s="30"/>
      <c r="M2" s="30"/>
      <c r="N2" s="30"/>
      <c r="O2" s="30"/>
    </row>
    <row r="3" spans="2:15" ht="15.75" x14ac:dyDescent="0.25">
      <c r="C3" s="11" t="s">
        <v>0</v>
      </c>
      <c r="D3" s="12" t="s">
        <v>1</v>
      </c>
      <c r="E3" s="13" t="s">
        <v>2</v>
      </c>
      <c r="F3" s="12" t="s">
        <v>30</v>
      </c>
      <c r="G3" s="12" t="s">
        <v>31</v>
      </c>
      <c r="K3" s="27" t="s">
        <v>12</v>
      </c>
      <c r="L3" s="28" t="s">
        <v>13</v>
      </c>
      <c r="M3" s="28" t="s">
        <v>14</v>
      </c>
      <c r="N3" s="28" t="s">
        <v>15</v>
      </c>
      <c r="O3" s="29" t="s">
        <v>16</v>
      </c>
    </row>
    <row r="4" spans="2:15" ht="15.75" x14ac:dyDescent="0.25">
      <c r="C4" s="14">
        <v>1</v>
      </c>
      <c r="D4" s="15">
        <v>2</v>
      </c>
      <c r="E4" s="16">
        <v>5</v>
      </c>
      <c r="F4" s="26" t="s">
        <v>32</v>
      </c>
      <c r="G4" s="15">
        <v>0.1</v>
      </c>
      <c r="K4" s="14" t="s">
        <v>17</v>
      </c>
      <c r="L4" s="15">
        <v>9.9000000000000005E-2</v>
      </c>
      <c r="M4" s="36">
        <v>0</v>
      </c>
      <c r="N4" s="36">
        <v>0</v>
      </c>
      <c r="O4" s="34">
        <f>L4+M4+N4</f>
        <v>9.9000000000000005E-2</v>
      </c>
    </row>
    <row r="5" spans="2:15" ht="15.75" x14ac:dyDescent="0.25">
      <c r="C5" s="14">
        <v>1</v>
      </c>
      <c r="D5" s="15">
        <v>3</v>
      </c>
      <c r="E5" s="16">
        <v>3.1</v>
      </c>
      <c r="F5" s="26" t="s">
        <v>33</v>
      </c>
      <c r="G5" s="15">
        <v>0.1</v>
      </c>
      <c r="K5" s="14" t="s">
        <v>18</v>
      </c>
      <c r="L5" s="15">
        <v>9.9000000000000005E-2</v>
      </c>
      <c r="M5" s="33">
        <v>6.8493150684931503E-2</v>
      </c>
      <c r="N5" s="33">
        <v>6.0606060606060601E-2</v>
      </c>
      <c r="O5" s="34">
        <f>L5+M5+N5</f>
        <v>0.22809921129099212</v>
      </c>
    </row>
    <row r="6" spans="2:15" ht="15.75" x14ac:dyDescent="0.25">
      <c r="C6" s="14">
        <v>1</v>
      </c>
      <c r="D6" s="15">
        <v>6</v>
      </c>
      <c r="E6" s="16">
        <v>5.2</v>
      </c>
      <c r="F6" s="26" t="s">
        <v>34</v>
      </c>
      <c r="G6" s="15">
        <v>0.1</v>
      </c>
      <c r="K6" s="17" t="s">
        <v>19</v>
      </c>
      <c r="L6" s="18">
        <v>9.9000000000000005E-2</v>
      </c>
      <c r="M6" s="36">
        <v>0</v>
      </c>
      <c r="N6" s="36">
        <v>0</v>
      </c>
      <c r="O6" s="35">
        <f>L6+M6+N6</f>
        <v>9.9000000000000005E-2</v>
      </c>
    </row>
    <row r="7" spans="2:15" ht="15.75" x14ac:dyDescent="0.25">
      <c r="C7" s="14">
        <v>2</v>
      </c>
      <c r="D7" s="15">
        <v>3</v>
      </c>
      <c r="E7" s="16">
        <v>4.9000000000000004</v>
      </c>
      <c r="F7" s="26" t="s">
        <v>34</v>
      </c>
      <c r="G7" s="15">
        <v>0.1</v>
      </c>
      <c r="K7" s="14" t="s">
        <v>20</v>
      </c>
      <c r="L7" s="15">
        <v>9.9000000000000005E-2</v>
      </c>
      <c r="M7" s="36">
        <v>0</v>
      </c>
      <c r="N7" s="36">
        <v>0</v>
      </c>
      <c r="O7" s="34">
        <f>L7+M7+N7</f>
        <v>9.9000000000000005E-2</v>
      </c>
    </row>
    <row r="8" spans="2:15" ht="15.75" x14ac:dyDescent="0.25">
      <c r="C8" s="14">
        <v>2</v>
      </c>
      <c r="D8" s="15">
        <v>7</v>
      </c>
      <c r="E8" s="16">
        <v>5.2</v>
      </c>
      <c r="F8" s="26" t="s">
        <v>35</v>
      </c>
      <c r="G8" s="15">
        <v>0.1</v>
      </c>
      <c r="K8" s="14" t="s">
        <v>21</v>
      </c>
      <c r="L8" s="15">
        <v>9.9000000000000005E-2</v>
      </c>
      <c r="M8" s="36">
        <v>0</v>
      </c>
      <c r="N8" s="36">
        <v>0</v>
      </c>
      <c r="O8" s="34">
        <f>L8+M8+N8</f>
        <v>9.9000000000000005E-2</v>
      </c>
    </row>
    <row r="9" spans="2:15" ht="15.75" x14ac:dyDescent="0.25">
      <c r="C9" s="14">
        <v>3</v>
      </c>
      <c r="D9" s="15">
        <v>7</v>
      </c>
      <c r="E9" s="16">
        <v>3</v>
      </c>
      <c r="F9" s="26" t="s">
        <v>36</v>
      </c>
      <c r="G9" s="15">
        <v>0.1</v>
      </c>
      <c r="K9" s="14" t="s">
        <v>22</v>
      </c>
      <c r="L9" s="15">
        <v>9.9000000000000005E-2</v>
      </c>
      <c r="M9" s="36">
        <v>0</v>
      </c>
      <c r="N9" s="33">
        <v>6.0606060606060601E-2</v>
      </c>
      <c r="O9" s="34">
        <f>L9+M9+N9</f>
        <v>0.15960606060606061</v>
      </c>
    </row>
    <row r="10" spans="2:15" ht="15.75" x14ac:dyDescent="0.25">
      <c r="C10" s="14">
        <v>3</v>
      </c>
      <c r="D10" s="15">
        <v>5</v>
      </c>
      <c r="E10" s="16">
        <v>6</v>
      </c>
      <c r="F10" s="26" t="s">
        <v>37</v>
      </c>
      <c r="G10" s="15">
        <v>0.1</v>
      </c>
      <c r="K10" s="14" t="s">
        <v>23</v>
      </c>
      <c r="L10" s="15">
        <v>9.9000000000000005E-2</v>
      </c>
      <c r="M10" s="36">
        <v>0</v>
      </c>
      <c r="N10" s="33">
        <v>6.0606060606060601E-2</v>
      </c>
      <c r="O10" s="34">
        <f>L10+M10+N10</f>
        <v>0.15960606060606061</v>
      </c>
    </row>
    <row r="11" spans="2:15" ht="15.75" x14ac:dyDescent="0.25">
      <c r="C11" s="14">
        <v>3</v>
      </c>
      <c r="D11" s="15">
        <v>6</v>
      </c>
      <c r="E11" s="16">
        <v>3.2</v>
      </c>
      <c r="F11" s="26" t="s">
        <v>38</v>
      </c>
      <c r="G11" s="15">
        <v>0.1</v>
      </c>
      <c r="K11" s="14" t="s">
        <v>24</v>
      </c>
      <c r="L11" s="15">
        <v>9.9000000000000005E-2</v>
      </c>
      <c r="M11" s="36">
        <v>0</v>
      </c>
      <c r="N11" s="36">
        <v>0</v>
      </c>
      <c r="O11" s="34">
        <f>L11+M11+N11</f>
        <v>9.9000000000000005E-2</v>
      </c>
    </row>
    <row r="12" spans="2:15" ht="15.75" x14ac:dyDescent="0.25">
      <c r="C12" s="14">
        <v>6</v>
      </c>
      <c r="D12" s="15">
        <v>5</v>
      </c>
      <c r="E12" s="16">
        <v>4.7</v>
      </c>
      <c r="F12" s="26" t="s">
        <v>39</v>
      </c>
      <c r="G12" s="15">
        <v>0.1</v>
      </c>
      <c r="K12" s="14" t="s">
        <v>25</v>
      </c>
      <c r="L12" s="15">
        <v>9.9000000000000005E-2</v>
      </c>
      <c r="M12" s="33">
        <v>6.8493150684931503E-2</v>
      </c>
      <c r="N12" s="36">
        <v>0</v>
      </c>
      <c r="O12" s="34">
        <f>L12+M12+N12</f>
        <v>0.16749315068493151</v>
      </c>
    </row>
    <row r="13" spans="2:15" ht="15.75" x14ac:dyDescent="0.25">
      <c r="C13" s="14">
        <v>7</v>
      </c>
      <c r="D13" s="15">
        <v>4</v>
      </c>
      <c r="E13" s="16">
        <v>4.8</v>
      </c>
      <c r="F13" s="26" t="s">
        <v>40</v>
      </c>
      <c r="G13" s="15">
        <v>0.1</v>
      </c>
      <c r="K13" s="14" t="s">
        <v>26</v>
      </c>
      <c r="L13" s="15">
        <v>9.9000000000000005E-2</v>
      </c>
      <c r="M13" s="33">
        <v>6.8493150684931503E-2</v>
      </c>
      <c r="N13" s="33">
        <v>6.0606060606060601E-2</v>
      </c>
      <c r="O13" s="34">
        <f>L13+M13+N13</f>
        <v>0.22809921129099212</v>
      </c>
    </row>
    <row r="14" spans="2:15" ht="15.75" x14ac:dyDescent="0.25">
      <c r="C14" s="17">
        <v>5</v>
      </c>
      <c r="D14" s="18">
        <v>4</v>
      </c>
      <c r="E14" s="19">
        <v>5.5</v>
      </c>
      <c r="F14" s="26" t="s">
        <v>41</v>
      </c>
      <c r="G14" s="15">
        <v>0.1</v>
      </c>
      <c r="K14" s="17" t="s">
        <v>27</v>
      </c>
      <c r="L14" s="18">
        <v>9.9000000000000005E-2</v>
      </c>
      <c r="M14" s="36">
        <v>0</v>
      </c>
      <c r="N14" s="36">
        <v>0</v>
      </c>
      <c r="O14" s="35">
        <f>L14+M14+N14</f>
        <v>9.9000000000000005E-2</v>
      </c>
    </row>
    <row r="17" spans="2:14" ht="15.75" x14ac:dyDescent="0.25">
      <c r="G17" s="30" t="s">
        <v>29</v>
      </c>
      <c r="H17" s="30"/>
      <c r="I17" s="30"/>
    </row>
    <row r="18" spans="2:14" ht="15.75" x14ac:dyDescent="0.25">
      <c r="G18" s="23" t="s">
        <v>6</v>
      </c>
      <c r="H18" s="24" t="s">
        <v>3</v>
      </c>
      <c r="I18" s="25" t="s">
        <v>4</v>
      </c>
    </row>
    <row r="19" spans="2:14" ht="15.75" x14ac:dyDescent="0.25">
      <c r="G19" s="37" t="s">
        <v>43</v>
      </c>
      <c r="H19" s="38" t="s">
        <v>42</v>
      </c>
      <c r="I19" s="39">
        <f>SUM(Tabla4[Distancia])</f>
        <v>14.6</v>
      </c>
    </row>
    <row r="20" spans="2:14" ht="15.75" x14ac:dyDescent="0.25">
      <c r="G20" s="47" t="s">
        <v>44</v>
      </c>
      <c r="H20" s="48" t="s">
        <v>5</v>
      </c>
      <c r="I20" s="51">
        <f>SUM(Tabla5[Distancia])</f>
        <v>10.899999999999999</v>
      </c>
    </row>
    <row r="23" spans="2:14" ht="15.75" x14ac:dyDescent="0.25">
      <c r="B23" s="20" t="s">
        <v>7</v>
      </c>
      <c r="C23" s="21" t="s">
        <v>8</v>
      </c>
      <c r="D23" s="21" t="s">
        <v>2</v>
      </c>
      <c r="E23" s="21" t="s">
        <v>9</v>
      </c>
      <c r="F23" s="21" t="s">
        <v>10</v>
      </c>
      <c r="G23" s="22" t="s">
        <v>11</v>
      </c>
      <c r="H23" s="9"/>
      <c r="I23" s="40" t="s">
        <v>7</v>
      </c>
      <c r="J23" s="41" t="s">
        <v>8</v>
      </c>
      <c r="K23" s="41" t="s">
        <v>2</v>
      </c>
      <c r="L23" s="41" t="s">
        <v>9</v>
      </c>
      <c r="M23" s="41" t="s">
        <v>10</v>
      </c>
      <c r="N23" s="42" t="s">
        <v>11</v>
      </c>
    </row>
    <row r="24" spans="2:14" ht="15.75" x14ac:dyDescent="0.25">
      <c r="B24" s="14">
        <v>1</v>
      </c>
      <c r="C24" s="15">
        <v>3</v>
      </c>
      <c r="D24" s="15">
        <v>3.1</v>
      </c>
      <c r="E24" s="31">
        <v>0.10405826999999999</v>
      </c>
      <c r="F24" s="31">
        <v>0.57477891000000003</v>
      </c>
      <c r="G24" s="32">
        <v>0.63942679999999996</v>
      </c>
      <c r="H24" s="8"/>
      <c r="I24" s="43">
        <v>1</v>
      </c>
      <c r="J24" s="44">
        <v>3</v>
      </c>
      <c r="K24" s="44">
        <v>3.1</v>
      </c>
      <c r="L24" s="45">
        <v>0.10405826999999999</v>
      </c>
      <c r="M24" s="45">
        <v>0.57477891000000003</v>
      </c>
      <c r="N24" s="46">
        <v>0.32383276</v>
      </c>
    </row>
    <row r="25" spans="2:14" ht="15.75" x14ac:dyDescent="0.25">
      <c r="B25" s="14">
        <v>3</v>
      </c>
      <c r="C25" s="15">
        <v>5</v>
      </c>
      <c r="D25" s="15">
        <v>6</v>
      </c>
      <c r="E25" s="31">
        <v>4.1649310000000002E-2</v>
      </c>
      <c r="F25" s="31">
        <v>0.14971295000000001</v>
      </c>
      <c r="G25" s="32">
        <v>2.501076E-2</v>
      </c>
      <c r="H25" s="8"/>
      <c r="I25" s="14">
        <v>3</v>
      </c>
      <c r="J25" s="15">
        <v>7</v>
      </c>
      <c r="K25" s="15">
        <v>3</v>
      </c>
      <c r="L25" s="33">
        <v>0.11111111</v>
      </c>
      <c r="M25" s="33">
        <v>0.39940089000000001</v>
      </c>
      <c r="N25" s="34">
        <v>0.15084917</v>
      </c>
    </row>
    <row r="26" spans="2:14" ht="15.75" x14ac:dyDescent="0.25">
      <c r="B26" s="14">
        <v>5</v>
      </c>
      <c r="C26" s="15">
        <v>4</v>
      </c>
      <c r="D26" s="15">
        <v>5.5</v>
      </c>
      <c r="E26" s="31">
        <v>3.6982250000000001E-2</v>
      </c>
      <c r="F26" s="36">
        <v>1</v>
      </c>
      <c r="G26" s="32">
        <v>0.27502932000000002</v>
      </c>
      <c r="H26" s="8"/>
      <c r="I26" s="47">
        <v>7</v>
      </c>
      <c r="J26" s="48">
        <v>4</v>
      </c>
      <c r="K26" s="48">
        <v>4.8</v>
      </c>
      <c r="L26" s="49">
        <v>4.3402780000000002E-2</v>
      </c>
      <c r="M26" s="49">
        <v>0.53993610000000003</v>
      </c>
      <c r="N26" s="50">
        <v>0.65093447000000004</v>
      </c>
    </row>
    <row r="27" spans="2:14" x14ac:dyDescent="0.25">
      <c r="H27" s="8"/>
      <c r="I27" s="8"/>
      <c r="J27" s="8"/>
      <c r="K27" s="8"/>
      <c r="L27" s="8"/>
      <c r="M27" s="8"/>
      <c r="N27" s="8"/>
    </row>
  </sheetData>
  <mergeCells count="3">
    <mergeCell ref="G17:I17"/>
    <mergeCell ref="I2:O2"/>
    <mergeCell ref="C2:G2"/>
  </mergeCells>
  <phoneticPr fontId="5" type="noConversion"/>
  <pageMargins left="0.75" right="0.75" top="1" bottom="1" header="0.5" footer="0.5"/>
  <pageSetup paperSize="9" orientation="portrait" horizontalDpi="0" verticalDpi="0" r:id="rId1"/>
  <drawing r:id="rId2"/>
  <tableParts count="5"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workbookViewId="0">
      <selection sqref="A1:E12"/>
    </sheetView>
  </sheetViews>
  <sheetFormatPr baseColWidth="10" defaultColWidth="9.140625" defaultRowHeight="15" x14ac:dyDescent="0.25"/>
  <cols>
    <col min="1" max="1" width="8" customWidth="1"/>
    <col min="2" max="2" width="13" customWidth="1"/>
    <col min="3" max="4" width="21" customWidth="1"/>
    <col min="5" max="5" width="12" customWidth="1"/>
  </cols>
  <sheetData>
    <row r="1" spans="1:6" x14ac:dyDescent="0.25">
      <c r="A1" s="2" t="s">
        <v>12</v>
      </c>
      <c r="B1" s="3" t="s">
        <v>13</v>
      </c>
      <c r="C1" s="3" t="s">
        <v>14</v>
      </c>
      <c r="D1" s="3" t="s">
        <v>15</v>
      </c>
      <c r="E1" s="4" t="s">
        <v>16</v>
      </c>
    </row>
    <row r="2" spans="1:6" x14ac:dyDescent="0.25">
      <c r="A2" s="5" t="s">
        <v>17</v>
      </c>
      <c r="B2" s="1">
        <v>9.9000000000000005E-2</v>
      </c>
      <c r="C2" s="1">
        <v>0</v>
      </c>
      <c r="D2" s="1">
        <v>0</v>
      </c>
      <c r="E2" s="6">
        <f>B2+C2+D2</f>
        <v>9.9000000000000005E-2</v>
      </c>
    </row>
    <row r="3" spans="1:6" x14ac:dyDescent="0.25">
      <c r="A3" s="5" t="s">
        <v>18</v>
      </c>
      <c r="B3" s="1">
        <v>9.9000000000000005E-2</v>
      </c>
      <c r="C3" s="1">
        <v>6.8493150684931503E-2</v>
      </c>
      <c r="D3" s="1">
        <v>6.0606060606060601E-2</v>
      </c>
      <c r="E3" s="6">
        <f t="shared" ref="E3:E12" si="0">B3+C3+D3</f>
        <v>0.22809921129099212</v>
      </c>
    </row>
    <row r="4" spans="1:6" x14ac:dyDescent="0.25">
      <c r="A4" s="5" t="s">
        <v>19</v>
      </c>
      <c r="B4" s="1">
        <v>9.9000000000000005E-2</v>
      </c>
      <c r="C4" s="1">
        <v>0</v>
      </c>
      <c r="D4" s="1">
        <v>0</v>
      </c>
      <c r="E4" s="6">
        <f t="shared" si="0"/>
        <v>9.9000000000000005E-2</v>
      </c>
    </row>
    <row r="5" spans="1:6" x14ac:dyDescent="0.25">
      <c r="A5" s="5" t="s">
        <v>20</v>
      </c>
      <c r="B5" s="1">
        <v>9.9000000000000005E-2</v>
      </c>
      <c r="C5" s="1">
        <v>0</v>
      </c>
      <c r="D5" s="1">
        <v>0</v>
      </c>
      <c r="E5" s="6">
        <f t="shared" si="0"/>
        <v>9.9000000000000005E-2</v>
      </c>
      <c r="F5">
        <v>0.95555555999999997</v>
      </c>
    </row>
    <row r="6" spans="1:6" x14ac:dyDescent="0.25">
      <c r="A6" s="5" t="s">
        <v>21</v>
      </c>
      <c r="B6" s="1">
        <v>9.9000000000000005E-2</v>
      </c>
      <c r="C6" s="1">
        <v>0</v>
      </c>
      <c r="D6" s="1">
        <v>0</v>
      </c>
      <c r="E6" s="6">
        <f t="shared" si="0"/>
        <v>9.9000000000000005E-2</v>
      </c>
    </row>
    <row r="7" spans="1:6" x14ac:dyDescent="0.25">
      <c r="A7" s="5" t="s">
        <v>22</v>
      </c>
      <c r="B7" s="1">
        <v>9.9000000000000005E-2</v>
      </c>
      <c r="C7" s="1">
        <v>0</v>
      </c>
      <c r="D7" s="1">
        <v>6.0606060606060601E-2</v>
      </c>
      <c r="E7" s="6">
        <f t="shared" si="0"/>
        <v>0.15960606060606061</v>
      </c>
    </row>
    <row r="8" spans="1:6" x14ac:dyDescent="0.25">
      <c r="A8" s="5" t="s">
        <v>23</v>
      </c>
      <c r="B8" s="1">
        <v>9.9000000000000005E-2</v>
      </c>
      <c r="C8" s="1">
        <v>0</v>
      </c>
      <c r="D8" s="1">
        <v>6.0606060606060601E-2</v>
      </c>
      <c r="E8" s="6">
        <f t="shared" si="0"/>
        <v>0.15960606060606061</v>
      </c>
    </row>
    <row r="9" spans="1:6" x14ac:dyDescent="0.25">
      <c r="A9" s="5" t="s">
        <v>24</v>
      </c>
      <c r="B9" s="1">
        <v>9.9000000000000005E-2</v>
      </c>
      <c r="C9" s="1">
        <v>0</v>
      </c>
      <c r="D9" s="1">
        <v>0</v>
      </c>
      <c r="E9" s="6">
        <f t="shared" si="0"/>
        <v>9.9000000000000005E-2</v>
      </c>
    </row>
    <row r="10" spans="1:6" x14ac:dyDescent="0.25">
      <c r="A10" s="5" t="s">
        <v>25</v>
      </c>
      <c r="B10" s="1">
        <v>9.9000000000000005E-2</v>
      </c>
      <c r="C10" s="1">
        <v>6.8493150684931503E-2</v>
      </c>
      <c r="D10" s="1">
        <v>0</v>
      </c>
      <c r="E10" s="6">
        <f t="shared" si="0"/>
        <v>0.16749315068493151</v>
      </c>
    </row>
    <row r="11" spans="1:6" x14ac:dyDescent="0.25">
      <c r="A11" s="5" t="s">
        <v>26</v>
      </c>
      <c r="B11" s="1">
        <v>9.9000000000000005E-2</v>
      </c>
      <c r="C11" s="1">
        <v>6.8493150684931503E-2</v>
      </c>
      <c r="D11" s="1">
        <v>6.0606060606060601E-2</v>
      </c>
      <c r="E11" s="6">
        <f t="shared" si="0"/>
        <v>0.22809921129099212</v>
      </c>
    </row>
    <row r="12" spans="1:6" ht="15.75" thickBot="1" x14ac:dyDescent="0.3">
      <c r="A12" s="7" t="s">
        <v>27</v>
      </c>
      <c r="B12" s="1">
        <v>9.9000000000000005E-2</v>
      </c>
      <c r="C12" s="1">
        <v>0</v>
      </c>
      <c r="D12" s="1">
        <v>0</v>
      </c>
      <c r="E12" s="6">
        <f t="shared" si="0"/>
        <v>9.9000000000000005E-2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Aristas</vt:lpstr>
      <vt:lpstr>Feromonas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Tenesaca</cp:lastModifiedBy>
  <dcterms:created xsi:type="dcterms:W3CDTF">2025-11-17T20:27:36Z</dcterms:created>
  <dcterms:modified xsi:type="dcterms:W3CDTF">2025-11-17T22:11:29Z</dcterms:modified>
</cp:coreProperties>
</file>